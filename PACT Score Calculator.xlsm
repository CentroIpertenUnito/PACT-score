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EF0A3169-33C6-E2D0-F78B-2A1B10235526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44 - PACT Score/Manuscript/Altro/"/>
    </mc:Choice>
  </mc:AlternateContent>
  <xr:revisionPtr revIDLastSave="0" documentId="13_ncr:1_{0BDF6E0B-4CD4-A646-A6FF-84EDB560CD88}" xr6:coauthVersionLast="45" xr6:coauthVersionMax="45" xr10:uidLastSave="{00000000-0000-0000-0000-000000000000}"/>
  <bookViews>
    <workbookView xWindow="0" yWindow="460" windowWidth="28800" windowHeight="16120" xr2:uid="{588C59C6-26AB-2947-BCD3-823B9F90CE88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1" l="1"/>
  <c r="H6" i="1"/>
  <c r="H20" i="1"/>
  <c r="H16" i="1"/>
  <c r="H12" i="1"/>
  <c r="H9" i="1"/>
  <c r="K24" i="1" l="1"/>
  <c r="K6" i="1" l="1"/>
  <c r="K23" i="1"/>
</calcChain>
</file>

<file path=xl/sharedStrings.xml><?xml version="1.0" encoding="utf-8"?>
<sst xmlns="http://schemas.openxmlformats.org/spreadsheetml/2006/main" count="105" uniqueCount="96">
  <si>
    <t>Points</t>
  </si>
  <si>
    <t>Variable</t>
  </si>
  <si>
    <t>Category</t>
  </si>
  <si>
    <t>Patient Data</t>
  </si>
  <si>
    <t>Score</t>
  </si>
  <si>
    <t>Indication</t>
  </si>
  <si>
    <t>Aldosterone at screening</t>
  </si>
  <si>
    <t>(ng/dL)</t>
  </si>
  <si>
    <t>Cut-offs</t>
  </si>
  <si>
    <t>(mEq/L)</t>
  </si>
  <si>
    <t>&gt;/= 4.0</t>
  </si>
  <si>
    <t>(A)</t>
  </si>
  <si>
    <t>Insert patient data in highlighted column for each category; attention: units must be</t>
  </si>
  <si>
    <t>Percentage Distribution</t>
  </si>
  <si>
    <t>(B)</t>
  </si>
  <si>
    <t xml:space="preserve">Click "Calculate" to obtain score, predicted diagnosis and the percentage distribution (this </t>
  </si>
  <si>
    <t>is the proportion of patients for each diagnosis with the resulting score);</t>
  </si>
  <si>
    <t xml:space="preserve">(C) </t>
  </si>
  <si>
    <t>Click "Reset" before entering data for the next patient;</t>
  </si>
  <si>
    <t>Primary Aldosteronism Confirmatory Testing (P.A.C.T.) score Calculator</t>
  </si>
  <si>
    <t>Confirmed PA</t>
  </si>
  <si>
    <t>Excluded PA</t>
  </si>
  <si>
    <t>Sex</t>
  </si>
  <si>
    <t>Female (F)</t>
  </si>
  <si>
    <t>Male (M)</t>
  </si>
  <si>
    <t>Antihypertensive medication</t>
  </si>
  <si>
    <t>(expressed as DDD)</t>
  </si>
  <si>
    <t>&lt; 1.0</t>
  </si>
  <si>
    <t>&gt;/= 1.0</t>
  </si>
  <si>
    <t>(ng/mL/h)</t>
  </si>
  <si>
    <t>&lt; 0.20</t>
  </si>
  <si>
    <t>0.20-0.99</t>
  </si>
  <si>
    <t>&gt;/= 1.00</t>
  </si>
  <si>
    <t>&lt; 16.0</t>
  </si>
  <si>
    <t>16.0-27.9</t>
  </si>
  <si>
    <t>&gt;/= 28.0</t>
  </si>
  <si>
    <t>Lowest potassium</t>
  </si>
  <si>
    <t>&lt; 3.7</t>
  </si>
  <si>
    <t>3.7-3.9</t>
  </si>
  <si>
    <t>Organ damage</t>
  </si>
  <si>
    <t>Yes (Y)</t>
  </si>
  <si>
    <t>No (N)</t>
  </si>
  <si>
    <t>&lt; 5 - Probable excluded PA</t>
  </si>
  <si>
    <t>5/12 - Perform confirmatory test</t>
  </si>
  <si>
    <t>&gt;/= 13 - Probable confirmed PA</t>
  </si>
  <si>
    <r>
      <t xml:space="preserve">organ damage must be entered as </t>
    </r>
    <r>
      <rPr>
        <b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>);</t>
    </r>
  </si>
  <si>
    <r>
      <t xml:space="preserve">in accordance with those specified; sex must be entered as 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Female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M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Male</t>
    </r>
    <r>
      <rPr>
        <sz val="12"/>
        <color theme="1"/>
        <rFont val="Calibri"/>
        <family val="2"/>
        <scheme val="minor"/>
      </rPr>
      <t>);</t>
    </r>
  </si>
  <si>
    <t>PRA at screening*</t>
  </si>
  <si>
    <t>*</t>
  </si>
  <si>
    <t>If only DRC is available use K=12.4 as conversion factor [PRA=DRC/K]</t>
  </si>
  <si>
    <t>Score Points</t>
  </si>
  <si>
    <t>0.0</t>
  </si>
  <si>
    <t>1.0</t>
  </si>
  <si>
    <t>2.0</t>
  </si>
  <si>
    <t>3.0</t>
  </si>
  <si>
    <t>4.0</t>
  </si>
  <si>
    <t>5.0</t>
  </si>
  <si>
    <t>6.0</t>
  </si>
  <si>
    <t>7.0</t>
  </si>
  <si>
    <t>8.0</t>
  </si>
  <si>
    <t>9.0</t>
  </si>
  <si>
    <t>10.0</t>
  </si>
  <si>
    <t>11.0</t>
  </si>
  <si>
    <t>12.0</t>
  </si>
  <si>
    <t>13.0</t>
  </si>
  <si>
    <t>14.0</t>
  </si>
  <si>
    <t>15.0</t>
  </si>
  <si>
    <t>16.0</t>
  </si>
  <si>
    <t>99.9</t>
  </si>
  <si>
    <t>4.2</t>
  </si>
  <si>
    <t>99.8</t>
  </si>
  <si>
    <t>99.4</t>
  </si>
  <si>
    <t>98.4</t>
  </si>
  <si>
    <t>0.2</t>
  </si>
  <si>
    <t>0.6</t>
  </si>
  <si>
    <t>1.6</t>
  </si>
  <si>
    <t>95.8</t>
  </si>
  <si>
    <t>89.2</t>
  </si>
  <si>
    <t>10.8</t>
  </si>
  <si>
    <t>75.1</t>
  </si>
  <si>
    <t>24.9</t>
  </si>
  <si>
    <t>52.4</t>
  </si>
  <si>
    <t>47.6</t>
  </si>
  <si>
    <t>28.7</t>
  </si>
  <si>
    <t>71.3</t>
  </si>
  <si>
    <t>24.8</t>
  </si>
  <si>
    <t>75.2</t>
  </si>
  <si>
    <t>18.2</t>
  </si>
  <si>
    <t>81.8</t>
  </si>
  <si>
    <t>16.1</t>
  </si>
  <si>
    <t>83.9</t>
  </si>
  <si>
    <t>11.7</t>
  </si>
  <si>
    <t>88.3</t>
  </si>
  <si>
    <t>94.9</t>
  </si>
  <si>
    <t>5.1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</si>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</sst>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0" tint="-0.1499679555650502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rgb="FFFF0000"/>
      </top>
      <bottom style="medium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24" xfId="0" applyFill="1" applyBorder="1" applyAlignment="1" applyProtection="1">
      <alignment vertical="center"/>
      <protection locked="0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2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4" borderId="15" xfId="0" applyFill="1" applyBorder="1" applyAlignment="1">
      <alignment vertical="top"/>
    </xf>
    <xf numFmtId="0" fontId="2" fillId="6" borderId="33" xfId="0" applyFont="1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2" borderId="35" xfId="0" applyFill="1" applyBorder="1" applyAlignment="1">
      <alignment vertical="center"/>
    </xf>
    <xf numFmtId="0" fontId="0" fillId="2" borderId="36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5" borderId="43" xfId="0" applyFill="1" applyBorder="1" applyAlignment="1">
      <alignment horizontal="center" vertical="center"/>
    </xf>
    <xf numFmtId="164" fontId="5" fillId="5" borderId="13" xfId="0" applyNumberFormat="1" applyFont="1" applyFill="1" applyBorder="1" applyAlignment="1">
      <alignment horizontal="center" vertical="center"/>
    </xf>
    <xf numFmtId="0" fontId="0" fillId="6" borderId="46" xfId="0" applyFill="1" applyBorder="1" applyAlignment="1">
      <alignment horizontal="center" vertical="center"/>
    </xf>
    <xf numFmtId="164" fontId="9" fillId="6" borderId="22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2" fillId="6" borderId="39" xfId="0" applyFont="1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4" borderId="20" xfId="0" applyFill="1" applyBorder="1" applyAlignment="1">
      <alignment horizontal="left" vertical="top"/>
    </xf>
    <xf numFmtId="0" fontId="4" fillId="2" borderId="0" xfId="0" applyFont="1" applyFill="1" applyAlignment="1">
      <alignment vertical="center"/>
    </xf>
    <xf numFmtId="0" fontId="7" fillId="4" borderId="11" xfId="0" applyFont="1" applyFill="1" applyBorder="1" applyAlignment="1"/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2" fontId="7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48" xfId="0" applyFill="1" applyBorder="1" applyAlignment="1" applyProtection="1">
      <alignment vertical="center"/>
      <protection locked="0"/>
    </xf>
    <xf numFmtId="0" fontId="2" fillId="6" borderId="21" xfId="0" quotePrefix="1" applyFont="1" applyFill="1" applyBorder="1" applyAlignment="1">
      <alignment horizontal="center" vertical="center"/>
    </xf>
    <xf numFmtId="0" fontId="0" fillId="4" borderId="15" xfId="0" applyFont="1" applyFill="1" applyBorder="1" applyAlignment="1">
      <alignment vertical="top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8" fillId="2" borderId="36" xfId="0" applyFont="1" applyFill="1" applyBorder="1" applyAlignment="1">
      <alignment vertical="center"/>
    </xf>
    <xf numFmtId="0" fontId="10" fillId="2" borderId="0" xfId="0" applyFont="1" applyFill="1" applyAlignment="1">
      <alignment horizontal="center" vertical="center"/>
    </xf>
    <xf numFmtId="3" fontId="10" fillId="2" borderId="0" xfId="0" applyNumberFormat="1" applyFont="1" applyFill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32" xfId="0" applyFill="1" applyBorder="1" applyAlignment="1">
      <alignment horizontal="center" vertical="center"/>
    </xf>
    <xf numFmtId="0" fontId="0" fillId="5" borderId="42" xfId="0" applyFill="1" applyBorder="1" applyAlignment="1" applyProtection="1">
      <alignment horizontal="center" vertical="center"/>
      <protection locked="0"/>
    </xf>
    <xf numFmtId="0" fontId="0" fillId="5" borderId="44" xfId="0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8" xfId="0" applyNumberFormat="1" applyFill="1" applyBorder="1" applyAlignment="1" applyProtection="1">
      <alignment horizontal="center" vertical="center"/>
      <protection locked="0"/>
    </xf>
    <xf numFmtId="2" fontId="0" fillId="5" borderId="30" xfId="0" applyNumberFormat="1" applyFill="1" applyBorder="1" applyAlignment="1" applyProtection="1">
      <alignment horizontal="center" vertical="center"/>
      <protection locked="0"/>
    </xf>
    <xf numFmtId="0" fontId="5" fillId="5" borderId="25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5" fillId="5" borderId="45" xfId="0" applyFont="1" applyFill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0" fillId="5" borderId="30" xfId="0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35" xfId="0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15</xdr:row>
          <xdr:rowOff>152400</xdr:rowOff>
        </xdr:from>
        <xdr:to>
          <xdr:col>10</xdr:col>
          <xdr:colOff>952500</xdr:colOff>
          <xdr:row>18</xdr:row>
          <xdr:rowOff>76200</xdr:rowOff>
        </xdr:to>
        <xdr:sp macro="" textlink="">
          <xdr:nvSpPr>
            <xdr:cNvPr id="1027" name="Pulsante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11</xdr:row>
          <xdr:rowOff>177800</xdr:rowOff>
        </xdr:from>
        <xdr:to>
          <xdr:col>10</xdr:col>
          <xdr:colOff>927100</xdr:colOff>
          <xdr:row>14</xdr:row>
          <xdr:rowOff>127000</xdr:rowOff>
        </xdr:to>
        <xdr:sp macro="" textlink="">
          <xdr:nvSpPr>
            <xdr:cNvPr id="1028" name="Pulsante 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50800</xdr:colOff>
      <xdr:row>4</xdr:row>
      <xdr:rowOff>25399</xdr:rowOff>
    </xdr:from>
    <xdr:to>
      <xdr:col>19</xdr:col>
      <xdr:colOff>787399</xdr:colOff>
      <xdr:row>14</xdr:row>
      <xdr:rowOff>229459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76299"/>
          <a:ext cx="4889500" cy="28710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9E6-72B0-2F44-8FAD-8DECBCABCAD3}">
  <sheetPr codeName="Foglio1"/>
  <dimension ref="B1:AD26"/>
  <sheetViews>
    <sheetView tabSelected="1" zoomScale="92" zoomScaleNormal="70" workbookViewId="0">
      <selection activeCell="K23" sqref="K23"/>
    </sheetView>
  </sheetViews>
  <sheetFormatPr baseColWidth="10" defaultColWidth="10.83203125" defaultRowHeight="16" x14ac:dyDescent="0.2"/>
  <cols>
    <col min="1" max="1" width="4.33203125" style="1" customWidth="1"/>
    <col min="2" max="2" width="3.33203125" style="1" customWidth="1"/>
    <col min="3" max="3" width="25.33203125" style="1" customWidth="1"/>
    <col min="4" max="4" width="15.6640625" style="1" customWidth="1"/>
    <col min="5" max="5" width="9.6640625" style="1" customWidth="1"/>
    <col min="6" max="6" width="2.6640625" style="1" customWidth="1"/>
    <col min="7" max="7" width="12.1640625" style="1" customWidth="1"/>
    <col min="8" max="8" width="8.5" style="1" customWidth="1"/>
    <col min="9" max="9" width="3.1640625" style="1" customWidth="1"/>
    <col min="10" max="10" width="13" style="1" customWidth="1"/>
    <col min="11" max="11" width="23" style="1" customWidth="1"/>
    <col min="12" max="12" width="4" style="1" customWidth="1"/>
    <col min="13" max="13" width="2.1640625" style="1" customWidth="1"/>
    <col min="14" max="14" width="2.83203125" style="1" customWidth="1"/>
    <col min="15" max="16" width="10.83203125" style="1"/>
    <col min="17" max="17" width="11.1640625" style="1" customWidth="1"/>
    <col min="18" max="20" width="10.83203125" style="1"/>
    <col min="21" max="22" width="10.83203125" style="57"/>
    <col min="23" max="23" width="14.33203125" style="57" customWidth="1"/>
    <col min="24" max="25" width="14.33203125" style="58" customWidth="1"/>
    <col min="26" max="30" width="10.83203125" style="57"/>
    <col min="31" max="16384" width="10.83203125" style="1"/>
  </cols>
  <sheetData>
    <row r="1" spans="2:28" x14ac:dyDescent="0.2">
      <c r="E1" s="20"/>
    </row>
    <row r="2" spans="2:28" ht="21" x14ac:dyDescent="0.2">
      <c r="B2" s="45" t="s">
        <v>19</v>
      </c>
      <c r="E2" s="20"/>
    </row>
    <row r="3" spans="2:28" ht="13" customHeight="1" thickBot="1" x14ac:dyDescent="0.25">
      <c r="E3" s="20"/>
      <c r="W3" s="60" t="s">
        <v>50</v>
      </c>
      <c r="X3" s="60" t="s">
        <v>21</v>
      </c>
      <c r="Y3" s="60" t="s">
        <v>20</v>
      </c>
    </row>
    <row r="4" spans="2:28" ht="17" thickBot="1" x14ac:dyDescent="0.25">
      <c r="B4" s="2"/>
      <c r="C4" s="3"/>
      <c r="D4" s="3"/>
      <c r="E4" s="4"/>
      <c r="F4" s="3"/>
      <c r="G4" s="3"/>
      <c r="H4" s="5"/>
      <c r="I4" s="3"/>
      <c r="J4" s="5"/>
      <c r="K4" s="3"/>
      <c r="L4" s="6"/>
      <c r="W4" s="60" t="s">
        <v>51</v>
      </c>
      <c r="X4" s="60" t="s">
        <v>70</v>
      </c>
      <c r="Y4" s="60" t="s">
        <v>73</v>
      </c>
      <c r="Z4" s="58"/>
      <c r="AA4" s="58"/>
      <c r="AB4" s="58"/>
    </row>
    <row r="5" spans="2:28" ht="21" customHeight="1" thickBot="1" x14ac:dyDescent="0.25">
      <c r="B5" s="7"/>
      <c r="C5" s="8" t="s">
        <v>1</v>
      </c>
      <c r="D5" s="9" t="s">
        <v>2</v>
      </c>
      <c r="E5" s="10" t="s">
        <v>0</v>
      </c>
      <c r="F5" s="47"/>
      <c r="G5" s="11" t="s">
        <v>3</v>
      </c>
      <c r="H5" s="12" t="s">
        <v>0</v>
      </c>
      <c r="I5" s="47"/>
      <c r="J5" s="13" t="s">
        <v>4</v>
      </c>
      <c r="K5" s="13" t="s">
        <v>5</v>
      </c>
      <c r="L5" s="14"/>
      <c r="O5" s="2"/>
      <c r="P5" s="3"/>
      <c r="Q5" s="3"/>
      <c r="R5" s="3"/>
      <c r="S5" s="3"/>
      <c r="T5" s="6"/>
      <c r="W5" s="60" t="s">
        <v>52</v>
      </c>
      <c r="X5" s="60" t="s">
        <v>71</v>
      </c>
      <c r="Y5" s="60" t="s">
        <v>74</v>
      </c>
      <c r="Z5" s="58"/>
    </row>
    <row r="6" spans="2:28" ht="21" customHeight="1" thickBot="1" x14ac:dyDescent="0.25">
      <c r="B6" s="7"/>
      <c r="C6" s="46" t="s">
        <v>22</v>
      </c>
      <c r="D6" s="15" t="s">
        <v>23</v>
      </c>
      <c r="E6" s="16">
        <v>0</v>
      </c>
      <c r="F6" s="47"/>
      <c r="G6" s="75"/>
      <c r="H6" s="82" t="str">
        <f>IF(G6="F",0,IF(G6="M",2,"Invalid"))</f>
        <v>Invalid</v>
      </c>
      <c r="I6" s="47"/>
      <c r="J6" s="17">
        <v>-1</v>
      </c>
      <c r="K6" s="18" t="str">
        <f>IF(J6&gt;=13,"Probable Confirmed PA",IF(J6&lt;5,"Probable Excluded PA","Perform confirmatory test"))</f>
        <v>Probable Excluded PA</v>
      </c>
      <c r="L6" s="14"/>
      <c r="O6" s="7"/>
      <c r="T6" s="14"/>
      <c r="W6" s="60" t="s">
        <v>53</v>
      </c>
      <c r="X6" s="60" t="s">
        <v>72</v>
      </c>
      <c r="Y6" s="60" t="s">
        <v>75</v>
      </c>
      <c r="Z6" s="58"/>
    </row>
    <row r="7" spans="2:28" ht="21" customHeight="1" thickBot="1" x14ac:dyDescent="0.25">
      <c r="B7" s="7"/>
      <c r="C7" s="28"/>
      <c r="D7" s="42" t="s">
        <v>24</v>
      </c>
      <c r="E7" s="43">
        <v>2</v>
      </c>
      <c r="F7" s="47"/>
      <c r="G7" s="76"/>
      <c r="H7" s="67"/>
      <c r="I7" s="47"/>
      <c r="J7" s="48"/>
      <c r="K7" s="49"/>
      <c r="L7" s="14"/>
      <c r="O7" s="7"/>
      <c r="T7" s="14"/>
      <c r="W7" s="60" t="s">
        <v>54</v>
      </c>
      <c r="X7" s="60" t="s">
        <v>76</v>
      </c>
      <c r="Y7" s="60" t="s">
        <v>69</v>
      </c>
      <c r="Z7" s="58"/>
    </row>
    <row r="8" spans="2:28" ht="21" customHeight="1" thickBot="1" x14ac:dyDescent="0.25">
      <c r="B8" s="7"/>
      <c r="C8" s="47"/>
      <c r="D8" s="50"/>
      <c r="E8" s="49"/>
      <c r="F8" s="47"/>
      <c r="G8" s="23"/>
      <c r="H8" s="51"/>
      <c r="I8" s="47"/>
      <c r="J8" s="83" t="s">
        <v>8</v>
      </c>
      <c r="K8" s="84"/>
      <c r="L8" s="14"/>
      <c r="O8" s="7"/>
      <c r="T8" s="14"/>
      <c r="W8" s="60" t="s">
        <v>55</v>
      </c>
      <c r="X8" s="60" t="s">
        <v>77</v>
      </c>
      <c r="Y8" s="60" t="s">
        <v>78</v>
      </c>
      <c r="Z8" s="58"/>
    </row>
    <row r="9" spans="2:28" ht="21" customHeight="1" x14ac:dyDescent="0.2">
      <c r="B9" s="7"/>
      <c r="C9" s="46" t="s">
        <v>25</v>
      </c>
      <c r="D9" s="15" t="s">
        <v>27</v>
      </c>
      <c r="E9" s="16">
        <v>0</v>
      </c>
      <c r="F9" s="47"/>
      <c r="G9" s="75"/>
      <c r="H9" s="66">
        <f>IF(G9&lt;1,0,1)</f>
        <v>0</v>
      </c>
      <c r="I9" s="47"/>
      <c r="J9" s="85" t="s">
        <v>42</v>
      </c>
      <c r="K9" s="86"/>
      <c r="L9" s="14"/>
      <c r="O9" s="7"/>
      <c r="T9" s="14"/>
      <c r="W9" s="60" t="s">
        <v>56</v>
      </c>
      <c r="X9" s="60" t="s">
        <v>79</v>
      </c>
      <c r="Y9" s="60" t="s">
        <v>80</v>
      </c>
      <c r="Z9" s="58"/>
    </row>
    <row r="10" spans="2:28" ht="21" customHeight="1" thickBot="1" x14ac:dyDescent="0.25">
      <c r="B10" s="7"/>
      <c r="C10" s="44" t="s">
        <v>26</v>
      </c>
      <c r="D10" s="42" t="s">
        <v>28</v>
      </c>
      <c r="E10" s="43">
        <v>1</v>
      </c>
      <c r="F10" s="47"/>
      <c r="G10" s="76"/>
      <c r="H10" s="67"/>
      <c r="I10" s="47"/>
      <c r="J10" s="87" t="s">
        <v>43</v>
      </c>
      <c r="K10" s="88"/>
      <c r="L10" s="14"/>
      <c r="O10" s="7"/>
      <c r="T10" s="14"/>
      <c r="W10" s="60" t="s">
        <v>57</v>
      </c>
      <c r="X10" s="60" t="s">
        <v>81</v>
      </c>
      <c r="Y10" s="60" t="s">
        <v>82</v>
      </c>
      <c r="Z10" s="58"/>
    </row>
    <row r="11" spans="2:28" ht="21" customHeight="1" thickBot="1" x14ac:dyDescent="0.25">
      <c r="B11" s="7"/>
      <c r="C11" s="47"/>
      <c r="D11" s="50"/>
      <c r="E11" s="49"/>
      <c r="F11" s="47"/>
      <c r="G11" s="23"/>
      <c r="H11" s="51"/>
      <c r="I11" s="47"/>
      <c r="J11" s="62" t="s">
        <v>44</v>
      </c>
      <c r="K11" s="63"/>
      <c r="L11" s="14"/>
      <c r="O11" s="7"/>
      <c r="T11" s="14"/>
      <c r="W11" s="60" t="s">
        <v>58</v>
      </c>
      <c r="X11" s="60" t="s">
        <v>83</v>
      </c>
      <c r="Y11" s="60" t="s">
        <v>84</v>
      </c>
      <c r="Z11" s="58"/>
    </row>
    <row r="12" spans="2:28" ht="21" customHeight="1" x14ac:dyDescent="0.2">
      <c r="B12" s="7"/>
      <c r="C12" s="46" t="s">
        <v>47</v>
      </c>
      <c r="D12" s="15" t="s">
        <v>30</v>
      </c>
      <c r="E12" s="16">
        <v>3</v>
      </c>
      <c r="F12" s="47"/>
      <c r="G12" s="68"/>
      <c r="H12" s="71">
        <f>IF(G12&lt;0.2,3,IF(AND(G12&gt;=0.2,G12&lt;1),1,0))</f>
        <v>3</v>
      </c>
      <c r="I12" s="47"/>
      <c r="J12" s="47"/>
      <c r="K12" s="47"/>
      <c r="L12" s="14"/>
      <c r="O12" s="7"/>
      <c r="T12" s="14"/>
      <c r="W12" s="60" t="s">
        <v>59</v>
      </c>
      <c r="X12" s="60" t="s">
        <v>85</v>
      </c>
      <c r="Y12" s="60" t="s">
        <v>86</v>
      </c>
      <c r="Z12" s="58"/>
    </row>
    <row r="13" spans="2:28" ht="21" customHeight="1" x14ac:dyDescent="0.2">
      <c r="B13" s="7"/>
      <c r="C13" s="31" t="s">
        <v>29</v>
      </c>
      <c r="D13" s="32" t="s">
        <v>31</v>
      </c>
      <c r="E13" s="33">
        <v>1</v>
      </c>
      <c r="F13" s="47"/>
      <c r="G13" s="69"/>
      <c r="H13" s="72"/>
      <c r="I13" s="47"/>
      <c r="J13" s="47"/>
      <c r="K13" s="47"/>
      <c r="L13" s="14"/>
      <c r="O13" s="7"/>
      <c r="T13" s="14"/>
      <c r="W13" s="60" t="s">
        <v>60</v>
      </c>
      <c r="X13" s="60" t="s">
        <v>87</v>
      </c>
      <c r="Y13" s="60" t="s">
        <v>88</v>
      </c>
      <c r="Z13" s="58"/>
    </row>
    <row r="14" spans="2:28" ht="21" customHeight="1" thickBot="1" x14ac:dyDescent="0.25">
      <c r="B14" s="7"/>
      <c r="C14" s="28"/>
      <c r="D14" s="21" t="s">
        <v>32</v>
      </c>
      <c r="E14" s="22">
        <v>0</v>
      </c>
      <c r="F14" s="47"/>
      <c r="G14" s="70"/>
      <c r="H14" s="73"/>
      <c r="I14" s="47"/>
      <c r="J14" s="47"/>
      <c r="K14" s="47"/>
      <c r="L14" s="14"/>
      <c r="O14" s="7"/>
      <c r="T14" s="14"/>
      <c r="W14" s="60" t="s">
        <v>61</v>
      </c>
      <c r="X14" s="60" t="s">
        <v>89</v>
      </c>
      <c r="Y14" s="60" t="s">
        <v>90</v>
      </c>
      <c r="Z14" s="58"/>
    </row>
    <row r="15" spans="2:28" ht="21" customHeight="1" thickBot="1" x14ac:dyDescent="0.25">
      <c r="B15" s="7"/>
      <c r="C15" s="47"/>
      <c r="D15" s="50"/>
      <c r="E15" s="49"/>
      <c r="F15" s="47"/>
      <c r="G15" s="52"/>
      <c r="H15" s="51"/>
      <c r="I15" s="47"/>
      <c r="J15" s="47"/>
      <c r="K15" s="47"/>
      <c r="L15" s="14"/>
      <c r="O15" s="34"/>
      <c r="P15" s="35"/>
      <c r="Q15" s="35"/>
      <c r="R15" s="35"/>
      <c r="S15" s="35"/>
      <c r="T15" s="36"/>
      <c r="W15" s="60" t="s">
        <v>62</v>
      </c>
      <c r="X15" s="60" t="s">
        <v>91</v>
      </c>
      <c r="Y15" s="60" t="s">
        <v>92</v>
      </c>
    </row>
    <row r="16" spans="2:28" ht="21" customHeight="1" x14ac:dyDescent="0.2">
      <c r="B16" s="7"/>
      <c r="C16" s="46" t="s">
        <v>6</v>
      </c>
      <c r="D16" s="24" t="s">
        <v>33</v>
      </c>
      <c r="E16" s="25">
        <v>0</v>
      </c>
      <c r="F16" s="47"/>
      <c r="G16" s="68"/>
      <c r="H16" s="66">
        <f>IF(G16&lt;16,0,IF(AND(G16&gt;=16,G16&lt;28),2,4))</f>
        <v>0</v>
      </c>
      <c r="I16" s="47"/>
      <c r="J16" s="47"/>
      <c r="K16" s="47"/>
      <c r="L16" s="14"/>
      <c r="W16" s="60" t="s">
        <v>63</v>
      </c>
      <c r="X16" s="61" t="s">
        <v>94</v>
      </c>
      <c r="Y16" s="60" t="s">
        <v>93</v>
      </c>
    </row>
    <row r="17" spans="2:25" ht="21" customHeight="1" x14ac:dyDescent="0.2">
      <c r="B17" s="7"/>
      <c r="C17" s="56" t="s">
        <v>7</v>
      </c>
      <c r="D17" s="26" t="s">
        <v>34</v>
      </c>
      <c r="E17" s="27">
        <v>2</v>
      </c>
      <c r="F17" s="47"/>
      <c r="G17" s="69"/>
      <c r="H17" s="74"/>
      <c r="I17" s="47"/>
      <c r="J17" s="47"/>
      <c r="K17" s="47"/>
      <c r="L17" s="14"/>
      <c r="W17" s="60" t="s">
        <v>64</v>
      </c>
      <c r="X17" s="60" t="s">
        <v>95</v>
      </c>
      <c r="Y17" s="60" t="s">
        <v>68</v>
      </c>
    </row>
    <row r="18" spans="2:25" ht="21" customHeight="1" thickBot="1" x14ac:dyDescent="0.25">
      <c r="B18" s="7"/>
      <c r="C18" s="28"/>
      <c r="D18" s="29" t="s">
        <v>35</v>
      </c>
      <c r="E18" s="30">
        <v>4</v>
      </c>
      <c r="F18" s="47"/>
      <c r="G18" s="69"/>
      <c r="H18" s="67"/>
      <c r="I18" s="47"/>
      <c r="J18" s="47"/>
      <c r="K18" s="47"/>
      <c r="L18" s="14"/>
      <c r="N18" s="1" t="s">
        <v>11</v>
      </c>
      <c r="O18" s="1" t="s">
        <v>12</v>
      </c>
      <c r="W18" s="60" t="s">
        <v>65</v>
      </c>
      <c r="X18" s="60" t="s">
        <v>95</v>
      </c>
      <c r="Y18" s="60" t="s">
        <v>68</v>
      </c>
    </row>
    <row r="19" spans="2:25" ht="21" customHeight="1" thickBot="1" x14ac:dyDescent="0.25">
      <c r="B19" s="7"/>
      <c r="C19" s="47"/>
      <c r="D19" s="50"/>
      <c r="E19" s="49"/>
      <c r="F19" s="47"/>
      <c r="G19" s="23"/>
      <c r="H19" s="51"/>
      <c r="I19" s="47"/>
      <c r="J19" s="47"/>
      <c r="K19" s="47"/>
      <c r="L19" s="14"/>
      <c r="O19" s="1" t="s">
        <v>46</v>
      </c>
      <c r="W19" s="60" t="s">
        <v>66</v>
      </c>
      <c r="X19" s="60" t="s">
        <v>95</v>
      </c>
      <c r="Y19" s="60" t="s">
        <v>68</v>
      </c>
    </row>
    <row r="20" spans="2:25" ht="21" customHeight="1" thickBot="1" x14ac:dyDescent="0.25">
      <c r="B20" s="7"/>
      <c r="C20" s="46" t="s">
        <v>36</v>
      </c>
      <c r="D20" s="15" t="s">
        <v>37</v>
      </c>
      <c r="E20" s="16">
        <v>4</v>
      </c>
      <c r="F20" s="47"/>
      <c r="G20" s="75"/>
      <c r="H20" s="71">
        <f>IF(G20&lt;3.7,4,IF(AND(G20&gt;=3.7,G20&lt;4),2,0))</f>
        <v>4</v>
      </c>
      <c r="I20" s="47"/>
      <c r="J20" s="47"/>
      <c r="K20" s="47"/>
      <c r="L20" s="14"/>
      <c r="O20" s="1" t="s">
        <v>45</v>
      </c>
      <c r="W20" s="60" t="s">
        <v>67</v>
      </c>
      <c r="X20" s="60" t="s">
        <v>95</v>
      </c>
      <c r="Y20" s="60" t="s">
        <v>68</v>
      </c>
    </row>
    <row r="21" spans="2:25" ht="21" customHeight="1" x14ac:dyDescent="0.2">
      <c r="B21" s="7"/>
      <c r="C21" s="56" t="s">
        <v>9</v>
      </c>
      <c r="D21" s="32" t="s">
        <v>38</v>
      </c>
      <c r="E21" s="19">
        <v>2</v>
      </c>
      <c r="F21" s="47"/>
      <c r="G21" s="76"/>
      <c r="H21" s="72"/>
      <c r="I21" s="47"/>
      <c r="J21" s="78" t="s">
        <v>13</v>
      </c>
      <c r="K21" s="79"/>
      <c r="L21" s="14"/>
      <c r="N21" s="1" t="s">
        <v>14</v>
      </c>
      <c r="O21" s="1" t="s">
        <v>15</v>
      </c>
      <c r="W21" s="58"/>
    </row>
    <row r="22" spans="2:25" ht="21" customHeight="1" thickBot="1" x14ac:dyDescent="0.25">
      <c r="B22" s="7"/>
      <c r="C22" s="28"/>
      <c r="D22" s="21" t="s">
        <v>10</v>
      </c>
      <c r="E22" s="22">
        <v>0</v>
      </c>
      <c r="F22" s="47"/>
      <c r="G22" s="77"/>
      <c r="H22" s="73"/>
      <c r="I22" s="47"/>
      <c r="J22" s="80"/>
      <c r="K22" s="81"/>
      <c r="L22" s="14"/>
      <c r="O22" s="1" t="s">
        <v>16</v>
      </c>
    </row>
    <row r="23" spans="2:25" ht="21" customHeight="1" thickBot="1" x14ac:dyDescent="0.25">
      <c r="B23" s="7"/>
      <c r="C23" s="47"/>
      <c r="D23" s="50"/>
      <c r="E23" s="49"/>
      <c r="F23" s="47"/>
      <c r="G23" s="53"/>
      <c r="H23" s="51"/>
      <c r="I23" s="47"/>
      <c r="J23" s="37" t="s">
        <v>20</v>
      </c>
      <c r="K23" s="38" t="b">
        <f>IF(AND(J6&gt;=0,J6&lt;=1),Y5,IF(AND(J6&gt;1,J6&lt;=2),Y6,IF(AND(J6&gt;2,J6&lt;=3),Y7,IF(AND(J6&gt;3,J6&lt;=4),Y8,IF(AND(J6&gt;4,J6&lt;=5),Y9,IF(AND(J6&gt;5,J6&lt;=6),Y10,IF(AND(J6&gt;6,J6&lt;=7),Y11,IF(AND(J6&gt;7,J6&lt;=8),Y12,IF(AND(J6&gt;8,J6&lt;=9),Y13,IF(AND(J6&gt;9,J6&lt;=10),Y14,IF(AND(J6&gt;10,J6&lt;=11),Y15,IF(AND(J6&gt;11,J6&lt;=12),Y16,IF(AND(J6&gt;12,J6&lt;=13),Y17,IF(AND(J6&gt;13,J6&lt;=14),Y18,IF(AND(J6&gt;14,J6&lt;=15),Y19,IF(AND(J6&gt;15,J6&lt;=16),Y20))))))))))))))))</f>
        <v>0</v>
      </c>
      <c r="L23" s="14"/>
      <c r="N23" s="1" t="s">
        <v>17</v>
      </c>
      <c r="O23" s="1" t="s">
        <v>18</v>
      </c>
    </row>
    <row r="24" spans="2:25" ht="21" customHeight="1" thickBot="1" x14ac:dyDescent="0.25">
      <c r="B24" s="7"/>
      <c r="C24" s="46" t="s">
        <v>39</v>
      </c>
      <c r="D24" s="15" t="s">
        <v>40</v>
      </c>
      <c r="E24" s="16">
        <v>2</v>
      </c>
      <c r="F24" s="47"/>
      <c r="G24" s="64"/>
      <c r="H24" s="66" t="str">
        <f>IF(G24="Y",2,IF(G24="N",0,"Invalid"))</f>
        <v>Invalid</v>
      </c>
      <c r="I24" s="47"/>
      <c r="J24" s="39" t="s">
        <v>21</v>
      </c>
      <c r="K24" s="40" t="b">
        <f>IF(AND(J6&gt;=0,J6&lt;=1),X5,IF(AND(J6&gt;1,J6&lt;=2),X6,IF(AND(J6&gt;2,J6&lt;=3),X7,IF(AND(J6&gt;3,J6&lt;=4),X8,IF(AND(J6&gt;4,J6&lt;=5),X9,IF(AND(J6&gt;5,J6&lt;=6),X10,IF(AND(J6&gt;6,J6&lt;=7),X11,IF(AND(J6&gt;7,J6&lt;=8),X12,IF(AND(J6&gt;8,J6&lt;=9),X13,IF(AND(J6&gt;9,J6&lt;=10),X14,IF(AND(J6&gt;10,J6&lt;=11),X15,IF(AND(J6&gt;11,J6&lt;=12),X16,IF(AND(J6&gt;12,J6&lt;=13),X17,IF(AND(J6&gt;13,J6&lt;=14),X18,IF(AND(J6&gt;14,J6&lt;=15),X19,IF(AND(J6&gt;15,J6&lt;=16),X20))))))))))))))))</f>
        <v>0</v>
      </c>
      <c r="L24" s="14"/>
    </row>
    <row r="25" spans="2:25" ht="21" customHeight="1" thickBot="1" x14ac:dyDescent="0.25">
      <c r="B25" s="7"/>
      <c r="C25" s="28"/>
      <c r="D25" s="55" t="s">
        <v>41</v>
      </c>
      <c r="E25" s="30">
        <v>0</v>
      </c>
      <c r="F25" s="47"/>
      <c r="G25" s="65"/>
      <c r="H25" s="67"/>
      <c r="I25" s="47"/>
      <c r="L25" s="14"/>
      <c r="N25" s="1" t="s">
        <v>48</v>
      </c>
      <c r="O25" s="1" t="s">
        <v>49</v>
      </c>
    </row>
    <row r="26" spans="2:25" ht="17" thickBot="1" x14ac:dyDescent="0.25">
      <c r="B26" s="34"/>
      <c r="C26" s="35"/>
      <c r="D26" s="35"/>
      <c r="E26" s="41"/>
      <c r="F26" s="35"/>
      <c r="G26" s="54"/>
      <c r="H26" s="59"/>
      <c r="I26" s="35"/>
      <c r="J26" s="35"/>
      <c r="K26" s="35"/>
      <c r="L26" s="36"/>
    </row>
  </sheetData>
  <sheetProtection algorithmName="SHA-512" hashValue="0KA6A2mOsEDi5GFtZgIqSlijBGspaviLnOhEBYjvjX3rh2jaqLK3JMat9YSdO0HCDy/Y79L95DbVEzRymTbr5A==" saltValue="mMKyNLp5fiMAEFSocSVR1Q==" spinCount="100000" sheet="1" objects="1" scenarios="1"/>
  <mergeCells count="17">
    <mergeCell ref="G6:G7"/>
    <mergeCell ref="H6:H7"/>
    <mergeCell ref="J8:K8"/>
    <mergeCell ref="G9:G10"/>
    <mergeCell ref="H9:H10"/>
    <mergeCell ref="J9:K9"/>
    <mergeCell ref="J10:K10"/>
    <mergeCell ref="J11:K11"/>
    <mergeCell ref="G24:G25"/>
    <mergeCell ref="H24:H25"/>
    <mergeCell ref="G12:G14"/>
    <mergeCell ref="H12:H14"/>
    <mergeCell ref="G16:G18"/>
    <mergeCell ref="H16:H18"/>
    <mergeCell ref="G20:G22"/>
    <mergeCell ref="H20:H22"/>
    <mergeCell ref="J21:K22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15</xdr:row>
                    <xdr:rowOff>152400</xdr:rowOff>
                  </from>
                  <to>
                    <xdr:col>10</xdr:col>
                    <xdr:colOff>952500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11</xdr:row>
                    <xdr:rowOff>177800</xdr:rowOff>
                  </from>
                  <to>
                    <xdr:col>10</xdr:col>
                    <xdr:colOff>927100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2020-05-26T12:12:04Z</dcterms:created>
  <dcterms:modified xsi:type="dcterms:W3CDTF">2020-10-20T18:32:28Z</dcterms:modified>
</cp:coreProperties>
</file>